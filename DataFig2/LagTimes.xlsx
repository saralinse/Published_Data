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8138ca_lu_se/Documents/Doktorandutbildning/Chaperones/DNAJB6/Tau+JB6/240914_7uMtau/"/>
    </mc:Choice>
  </mc:AlternateContent>
  <xr:revisionPtr revIDLastSave="74" documentId="8_{21FEA1E2-C567-3340-B07F-452B7F3BEB14}" xr6:coauthVersionLast="47" xr6:coauthVersionMax="47" xr10:uidLastSave="{856431F8-76BD-4140-B8C4-83B01EBD0BF5}"/>
  <bookViews>
    <workbookView xWindow="240" yWindow="500" windowWidth="27240" windowHeight="15940" xr2:uid="{93C7F212-0F46-5A4C-8F47-7E9ADA6B41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E19" i="1"/>
  <c r="D19" i="1"/>
  <c r="C19" i="1"/>
  <c r="B19" i="1"/>
  <c r="E18" i="1"/>
  <c r="D18" i="1"/>
  <c r="B18" i="1"/>
  <c r="C8" i="1"/>
  <c r="D8" i="1"/>
  <c r="E8" i="1"/>
  <c r="C9" i="1"/>
  <c r="D9" i="1"/>
  <c r="E9" i="1"/>
  <c r="B9" i="1"/>
  <c r="B8" i="1"/>
</calcChain>
</file>

<file path=xl/sharedStrings.xml><?xml version="1.0" encoding="utf-8"?>
<sst xmlns="http://schemas.openxmlformats.org/spreadsheetml/2006/main" count="20" uniqueCount="7">
  <si>
    <t>No seeds</t>
  </si>
  <si>
    <t>JB6 (nM)</t>
  </si>
  <si>
    <t>lag t</t>
  </si>
  <si>
    <t>meanLag</t>
  </si>
  <si>
    <t>stLag</t>
  </si>
  <si>
    <t>Define lag time as 10 % of X34 intensity</t>
  </si>
  <si>
    <t>1 % 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</si>
</sst>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375A7-1963-2247-BE50-68DC81758AA4}">
  <dimension ref="A1:E19"/>
  <sheetViews>
    <sheetView tabSelected="1" topLeftCell="A10" zoomScale="255" workbookViewId="0">
      <selection activeCell="C19" sqref="C19"/>
    </sheetView>
  </sheetViews>
  <sheetFormatPr baseColWidth="10" defaultRowHeight="16" x14ac:dyDescent="0.2"/>
  <sheetData>
    <row r="1" spans="1:5" x14ac:dyDescent="0.2">
      <c r="A1" t="s">
        <v>0</v>
      </c>
      <c r="B1" t="s">
        <v>5</v>
      </c>
    </row>
    <row r="2" spans="1:5" x14ac:dyDescent="0.2">
      <c r="A2" t="s">
        <v>1</v>
      </c>
      <c r="B2">
        <v>1</v>
      </c>
      <c r="C2">
        <v>10</v>
      </c>
      <c r="D2">
        <v>100</v>
      </c>
      <c r="E2">
        <v>1000</v>
      </c>
    </row>
    <row r="3" spans="1:5" x14ac:dyDescent="0.2">
      <c r="A3" t="s">
        <v>2</v>
      </c>
      <c r="B3">
        <v>36</v>
      </c>
      <c r="C3">
        <v>98</v>
      </c>
      <c r="D3">
        <v>157</v>
      </c>
      <c r="E3">
        <v>278</v>
      </c>
    </row>
    <row r="4" spans="1:5" x14ac:dyDescent="0.2">
      <c r="A4" t="s">
        <v>2</v>
      </c>
      <c r="B4">
        <v>43</v>
      </c>
      <c r="C4">
        <v>117</v>
      </c>
      <c r="D4">
        <v>168</v>
      </c>
      <c r="E4">
        <v>296</v>
      </c>
    </row>
    <row r="5" spans="1:5" x14ac:dyDescent="0.2">
      <c r="A5" t="s">
        <v>2</v>
      </c>
      <c r="B5">
        <v>52</v>
      </c>
      <c r="C5">
        <v>124</v>
      </c>
      <c r="D5">
        <v>169</v>
      </c>
      <c r="E5">
        <v>299</v>
      </c>
    </row>
    <row r="6" spans="1:5" x14ac:dyDescent="0.2">
      <c r="A6" t="s">
        <v>2</v>
      </c>
      <c r="B6">
        <v>52</v>
      </c>
      <c r="C6">
        <v>125</v>
      </c>
      <c r="D6">
        <v>181</v>
      </c>
      <c r="E6">
        <v>368</v>
      </c>
    </row>
    <row r="7" spans="1:5" x14ac:dyDescent="0.2">
      <c r="A7" t="s">
        <v>2</v>
      </c>
      <c r="B7">
        <v>52</v>
      </c>
      <c r="C7">
        <v>134</v>
      </c>
      <c r="D7">
        <v>199</v>
      </c>
      <c r="E7">
        <v>400</v>
      </c>
    </row>
    <row r="8" spans="1:5" x14ac:dyDescent="0.2">
      <c r="A8" t="s">
        <v>3</v>
      </c>
      <c r="B8">
        <f>AVERAGE(B3:B7)</f>
        <v>47</v>
      </c>
      <c r="C8">
        <f t="shared" ref="C8:E8" si="0">AVERAGE(C3:C7)</f>
        <v>119.6</v>
      </c>
      <c r="D8">
        <f t="shared" si="0"/>
        <v>174.8</v>
      </c>
      <c r="E8">
        <f t="shared" si="0"/>
        <v>328.2</v>
      </c>
    </row>
    <row r="9" spans="1:5" x14ac:dyDescent="0.2">
      <c r="A9" t="s">
        <v>4</v>
      </c>
      <c r="B9">
        <f>STDEV(B3:B7)</f>
        <v>7.2801098892805181</v>
      </c>
      <c r="C9">
        <f t="shared" ref="C9:E9" si="1">STDEV(C3:C7)</f>
        <v>13.501851724856087</v>
      </c>
      <c r="D9">
        <f t="shared" si="1"/>
        <v>15.974980438172686</v>
      </c>
      <c r="E9">
        <f t="shared" si="1"/>
        <v>52.793939046068644</v>
      </c>
    </row>
    <row r="11" spans="1:5" x14ac:dyDescent="0.2">
      <c r="A11" t="s">
        <v>6</v>
      </c>
      <c r="B11" t="s">
        <v>5</v>
      </c>
    </row>
    <row r="12" spans="1:5" x14ac:dyDescent="0.2">
      <c r="A12" t="s">
        <v>1</v>
      </c>
      <c r="B12">
        <v>1</v>
      </c>
      <c r="C12">
        <v>10</v>
      </c>
      <c r="D12">
        <v>100</v>
      </c>
      <c r="E12">
        <v>1000</v>
      </c>
    </row>
    <row r="13" spans="1:5" x14ac:dyDescent="0.2">
      <c r="A13" t="s">
        <v>2</v>
      </c>
      <c r="B13">
        <v>2.5</v>
      </c>
      <c r="C13">
        <v>23</v>
      </c>
      <c r="D13">
        <v>182</v>
      </c>
      <c r="E13">
        <v>317</v>
      </c>
    </row>
    <row r="14" spans="1:5" x14ac:dyDescent="0.2">
      <c r="A14" t="s">
        <v>2</v>
      </c>
      <c r="B14">
        <v>2.8</v>
      </c>
      <c r="C14">
        <v>25</v>
      </c>
      <c r="D14">
        <v>189</v>
      </c>
      <c r="E14">
        <v>395</v>
      </c>
    </row>
    <row r="15" spans="1:5" x14ac:dyDescent="0.2">
      <c r="A15" t="s">
        <v>2</v>
      </c>
      <c r="B15">
        <v>3.5</v>
      </c>
      <c r="C15">
        <v>34</v>
      </c>
      <c r="D15">
        <v>220</v>
      </c>
      <c r="E15">
        <v>409</v>
      </c>
    </row>
    <row r="16" spans="1:5" x14ac:dyDescent="0.2">
      <c r="A16" t="s">
        <v>2</v>
      </c>
      <c r="B16">
        <v>4</v>
      </c>
      <c r="C16">
        <v>34</v>
      </c>
      <c r="D16">
        <v>238</v>
      </c>
      <c r="E16">
        <v>426</v>
      </c>
    </row>
    <row r="17" spans="1:5" x14ac:dyDescent="0.2">
      <c r="A17" t="s">
        <v>2</v>
      </c>
      <c r="B17">
        <v>4</v>
      </c>
      <c r="C17">
        <v>43</v>
      </c>
      <c r="D17">
        <v>296</v>
      </c>
      <c r="E17">
        <v>470</v>
      </c>
    </row>
    <row r="18" spans="1:5" x14ac:dyDescent="0.2">
      <c r="A18" t="s">
        <v>3</v>
      </c>
      <c r="B18">
        <f>AVERAGE(B13:B17)</f>
        <v>3.3600000000000003</v>
      </c>
      <c r="C18">
        <f>AVERAGE(C13:C17)</f>
        <v>31.8</v>
      </c>
      <c r="D18">
        <f t="shared" ref="D18" si="2">AVERAGE(D13:D17)</f>
        <v>225</v>
      </c>
      <c r="E18">
        <f t="shared" ref="E18" si="3">AVERAGE(E13:E17)</f>
        <v>403.4</v>
      </c>
    </row>
    <row r="19" spans="1:5" x14ac:dyDescent="0.2">
      <c r="A19" t="s">
        <v>4</v>
      </c>
      <c r="B19">
        <f>STDEV(B13:B17)</f>
        <v>0.68774995456197652</v>
      </c>
      <c r="C19">
        <f t="shared" ref="C19:E19" si="4">STDEV(C13:C17)</f>
        <v>8.0436310208760844</v>
      </c>
      <c r="D19">
        <f t="shared" si="4"/>
        <v>45.77116996538323</v>
      </c>
      <c r="E19">
        <f t="shared" si="4"/>
        <v>55.931207746659545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Carlsson</dc:creator>
  <cp:lastModifiedBy>Andreas Carlsson</cp:lastModifiedBy>
  <dcterms:created xsi:type="dcterms:W3CDTF">2025-10-27T13:50:32Z</dcterms:created>
  <dcterms:modified xsi:type="dcterms:W3CDTF">2025-10-27T17:11:31Z</dcterms:modified>
</cp:coreProperties>
</file>