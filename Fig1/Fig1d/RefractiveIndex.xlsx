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8138ca_lu_se/Documents/Doktorandutbildning/Chaperones/DNAJB6/JB6 self assembly - various conditions/For submission/Data/"/>
    </mc:Choice>
  </mc:AlternateContent>
  <xr:revisionPtr revIDLastSave="94" documentId="13_ncr:1_{D1305AF7-EA8C-374A-ADC0-6FF162EFD87A}" xr6:coauthVersionLast="47" xr6:coauthVersionMax="47" xr10:uidLastSave="{3A52565E-893E-8043-825A-439FDDDC232A}"/>
  <bookViews>
    <workbookView xWindow="0" yWindow="980" windowWidth="28800" windowHeight="15800" xr2:uid="{10A2252B-BC35-2642-AC97-1F70A1D7E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M19" i="1"/>
  <c r="N19" i="1" s="1"/>
  <c r="O19" i="1" s="1"/>
  <c r="D19" i="1"/>
  <c r="E19" i="1" s="1"/>
  <c r="F19" i="1" s="1"/>
  <c r="G19" i="1" s="1"/>
  <c r="H19" i="1" s="1"/>
  <c r="I19" i="1" s="1"/>
  <c r="J19" i="1" s="1"/>
  <c r="K19" i="1" s="1"/>
  <c r="F7" i="1"/>
  <c r="E7" i="1"/>
  <c r="F6" i="1"/>
  <c r="E6" i="1"/>
  <c r="G11" i="1"/>
  <c r="J11" i="1" l="1"/>
  <c r="K11" i="1" s="1"/>
  <c r="L11" i="1" s="1"/>
  <c r="M11" i="1" s="1"/>
  <c r="N11" i="1" s="1"/>
  <c r="O11" i="1" s="1"/>
</calcChain>
</file>

<file path=xl/sharedStrings.xml><?xml version="1.0" encoding="utf-8"?>
<sst xmlns="http://schemas.openxmlformats.org/spreadsheetml/2006/main" count="34" uniqueCount="16">
  <si>
    <t>20 °C for all</t>
  </si>
  <si>
    <t>value 1</t>
  </si>
  <si>
    <t>value 2</t>
  </si>
  <si>
    <t>value 3</t>
  </si>
  <si>
    <t>BSA</t>
  </si>
  <si>
    <t>conc (uM)</t>
  </si>
  <si>
    <t>DNAJB6</t>
  </si>
  <si>
    <t>mean</t>
  </si>
  <si>
    <t>st</t>
  </si>
  <si>
    <t>NaP buffer</t>
  </si>
  <si>
    <t>converted to n</t>
  </si>
  <si>
    <t>Converted to n</t>
  </si>
  <si>
    <t>blue 435,8 nm</t>
  </si>
  <si>
    <t>green 546,1 nm</t>
  </si>
  <si>
    <t>observed value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</si>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</sst>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F4BF-1F29-CC49-9307-5FF76264C330}">
  <dimension ref="A1:T28"/>
  <sheetViews>
    <sheetView tabSelected="1" zoomScale="131" workbookViewId="0">
      <selection activeCell="B6" sqref="B6"/>
    </sheetView>
  </sheetViews>
  <sheetFormatPr baseColWidth="10" defaultRowHeight="16" x14ac:dyDescent="0.2"/>
  <cols>
    <col min="1" max="1" width="15.5" customWidth="1"/>
    <col min="2" max="2" width="15.33203125" customWidth="1"/>
    <col min="7" max="7" width="13.83203125" customWidth="1"/>
  </cols>
  <sheetData>
    <row r="1" spans="1:20" x14ac:dyDescent="0.2">
      <c r="A1" t="s">
        <v>0</v>
      </c>
    </row>
    <row r="2" spans="1:20" x14ac:dyDescent="0.2">
      <c r="A2" s="2" t="s">
        <v>9</v>
      </c>
      <c r="B2" t="s">
        <v>1</v>
      </c>
      <c r="C2" t="s">
        <v>2</v>
      </c>
      <c r="D2" t="s">
        <v>3</v>
      </c>
    </row>
    <row r="3" spans="1:20" x14ac:dyDescent="0.2">
      <c r="A3" s="1" t="s">
        <v>12</v>
      </c>
      <c r="B3">
        <v>0.32700000000000001</v>
      </c>
      <c r="C3">
        <v>0.33</v>
      </c>
      <c r="D3">
        <v>0.38</v>
      </c>
    </row>
    <row r="4" spans="1:20" x14ac:dyDescent="0.2">
      <c r="A4" s="1" t="s">
        <v>13</v>
      </c>
      <c r="B4">
        <v>2.8414999999999999</v>
      </c>
      <c r="C4">
        <v>2.8159999999999998</v>
      </c>
      <c r="D4">
        <v>2.847</v>
      </c>
    </row>
    <row r="5" spans="1:20" x14ac:dyDescent="0.2">
      <c r="A5" t="s">
        <v>10</v>
      </c>
      <c r="E5" s="4" t="s">
        <v>7</v>
      </c>
      <c r="F5" s="5" t="s">
        <v>8</v>
      </c>
    </row>
    <row r="6" spans="1:20" x14ac:dyDescent="0.2">
      <c r="A6" s="1" t="s">
        <v>12</v>
      </c>
      <c r="B6">
        <v>1.3416300000000001</v>
      </c>
      <c r="C6">
        <v>1.34114</v>
      </c>
      <c r="D6">
        <v>1.34111</v>
      </c>
      <c r="E6" s="6">
        <f>AVERAGE(B6:D6)</f>
        <v>1.3412933333333334</v>
      </c>
      <c r="F6" s="7">
        <f>STDEV(B6:D6)</f>
        <v>2.9194748386201721E-4</v>
      </c>
      <c r="P6" s="1"/>
      <c r="Q6" s="1"/>
      <c r="R6" s="1"/>
      <c r="S6" s="1"/>
      <c r="T6" s="1"/>
    </row>
    <row r="7" spans="1:20" x14ac:dyDescent="0.2">
      <c r="A7" s="1" t="s">
        <v>13</v>
      </c>
      <c r="B7">
        <v>1.3351599999999999</v>
      </c>
      <c r="C7">
        <v>1.3348500000000001</v>
      </c>
      <c r="D7">
        <v>1.33511</v>
      </c>
      <c r="E7" s="8">
        <f t="shared" ref="E7" si="0">AVERAGE(B7:D7)</f>
        <v>1.33504</v>
      </c>
      <c r="F7" s="9">
        <f t="shared" ref="F7" si="1">STDEV(B7:D7)</f>
        <v>1.6643316977084868E-4</v>
      </c>
      <c r="P7" s="1"/>
      <c r="Q7" s="1"/>
      <c r="R7" s="1"/>
      <c r="S7" s="1"/>
      <c r="T7" s="1"/>
    </row>
    <row r="8" spans="1:20" x14ac:dyDescent="0.2">
      <c r="P8" s="1"/>
      <c r="Q8" s="1"/>
      <c r="R8" s="1"/>
      <c r="S8" s="1"/>
      <c r="T8" s="1"/>
    </row>
    <row r="11" spans="1:20" x14ac:dyDescent="0.2">
      <c r="A11" s="3" t="s">
        <v>4</v>
      </c>
      <c r="B11" t="s">
        <v>5</v>
      </c>
      <c r="C11">
        <v>220</v>
      </c>
      <c r="D11">
        <v>182</v>
      </c>
      <c r="E11" s="1">
        <v>150</v>
      </c>
      <c r="F11" s="1">
        <v>130</v>
      </c>
      <c r="G11" s="1">
        <f>E11*100/150</f>
        <v>100</v>
      </c>
      <c r="H11" s="1">
        <v>75</v>
      </c>
      <c r="I11" s="1">
        <f t="shared" ref="I11:O11" si="2">H11*100/150</f>
        <v>50</v>
      </c>
      <c r="J11" s="10">
        <f t="shared" si="2"/>
        <v>33.333333333333336</v>
      </c>
      <c r="K11" s="10">
        <f t="shared" si="2"/>
        <v>22.222222222222225</v>
      </c>
      <c r="L11" s="10">
        <f t="shared" si="2"/>
        <v>14.814814814814817</v>
      </c>
      <c r="M11" s="10">
        <f t="shared" si="2"/>
        <v>9.8765432098765444</v>
      </c>
      <c r="N11" s="10">
        <f t="shared" si="2"/>
        <v>6.5843621399176966</v>
      </c>
      <c r="O11" s="10">
        <f t="shared" si="2"/>
        <v>4.3895747599451314</v>
      </c>
    </row>
    <row r="12" spans="1:20" x14ac:dyDescent="0.2">
      <c r="A12" s="1" t="s">
        <v>12</v>
      </c>
      <c r="B12" s="1" t="s">
        <v>14</v>
      </c>
      <c r="C12" s="1">
        <v>0.52</v>
      </c>
      <c r="D12">
        <v>0.52500000000000002</v>
      </c>
      <c r="E12" s="1">
        <v>0.503</v>
      </c>
      <c r="F12">
        <v>0.48099999999999998</v>
      </c>
      <c r="G12" s="1">
        <v>0.46700000000000003</v>
      </c>
      <c r="H12" s="1">
        <v>0.41599999999999998</v>
      </c>
      <c r="I12" s="1">
        <v>0.38900000000000001</v>
      </c>
      <c r="J12" s="1">
        <v>0.379</v>
      </c>
      <c r="K12" s="1">
        <v>0.36599999999999999</v>
      </c>
      <c r="L12" s="1">
        <v>0.35499999999999998</v>
      </c>
      <c r="M12" s="1">
        <v>0.32200000000000001</v>
      </c>
      <c r="N12" s="1">
        <v>0.32</v>
      </c>
      <c r="O12" s="1">
        <v>0.32800000000000001</v>
      </c>
    </row>
    <row r="13" spans="1:20" x14ac:dyDescent="0.2">
      <c r="A13" s="1" t="s">
        <v>13</v>
      </c>
      <c r="B13" s="1" t="s">
        <v>14</v>
      </c>
      <c r="C13">
        <v>3.0910000000000002</v>
      </c>
      <c r="D13">
        <v>3.0310000000000001</v>
      </c>
      <c r="E13" s="1">
        <v>3.01</v>
      </c>
      <c r="F13">
        <v>2.9910000000000001</v>
      </c>
      <c r="G13" s="1">
        <v>2.9689999999999999</v>
      </c>
      <c r="H13" s="1">
        <v>2.9350000000000001</v>
      </c>
      <c r="I13" s="1">
        <v>2.9089999999999998</v>
      </c>
      <c r="J13" s="1">
        <v>2.89</v>
      </c>
      <c r="K13" s="1">
        <v>2.851</v>
      </c>
      <c r="L13" s="1">
        <v>2.8620000000000001</v>
      </c>
      <c r="M13" s="1">
        <v>2.8435000000000001</v>
      </c>
      <c r="N13" s="1">
        <v>2.8359999999999999</v>
      </c>
      <c r="O13" s="1">
        <v>2.843</v>
      </c>
    </row>
    <row r="14" spans="1:20" x14ac:dyDescent="0.2">
      <c r="A14" t="s">
        <v>11</v>
      </c>
    </row>
    <row r="15" spans="1:20" x14ac:dyDescent="0.2">
      <c r="A15" s="1" t="s">
        <v>12</v>
      </c>
      <c r="B15" s="1" t="s">
        <v>15</v>
      </c>
      <c r="C15">
        <v>1.343</v>
      </c>
      <c r="D15">
        <v>1.3430500000000001</v>
      </c>
      <c r="E15">
        <v>1.34283</v>
      </c>
      <c r="F15">
        <v>1.3426199999999999</v>
      </c>
      <c r="G15">
        <v>1.3424799999999999</v>
      </c>
      <c r="H15">
        <v>1.34198</v>
      </c>
      <c r="I15">
        <v>1.34172</v>
      </c>
      <c r="J15">
        <v>1.34162</v>
      </c>
      <c r="K15" s="1">
        <v>1.3414900000000001</v>
      </c>
      <c r="L15">
        <v>1.34138</v>
      </c>
      <c r="M15">
        <v>1.3410599999999999</v>
      </c>
      <c r="N15">
        <v>1.34104</v>
      </c>
      <c r="O15">
        <v>1.3411200000000001</v>
      </c>
    </row>
    <row r="16" spans="1:20" x14ac:dyDescent="0.2">
      <c r="A16" s="1" t="s">
        <v>13</v>
      </c>
      <c r="B16" s="1" t="s">
        <v>15</v>
      </c>
      <c r="C16">
        <v>1.33758</v>
      </c>
      <c r="D16">
        <v>1.3369800000000001</v>
      </c>
      <c r="E16">
        <v>1.3366899999999999</v>
      </c>
      <c r="F16">
        <v>1.3365899999999999</v>
      </c>
      <c r="G16">
        <v>1.3363700000000001</v>
      </c>
      <c r="H16">
        <v>1.3360300000000001</v>
      </c>
      <c r="I16">
        <v>1.3357699999999999</v>
      </c>
      <c r="J16">
        <v>1.3355900000000001</v>
      </c>
      <c r="K16" s="1">
        <v>1.3351999999999999</v>
      </c>
      <c r="L16">
        <v>1.3351999999999999</v>
      </c>
      <c r="M16">
        <v>1.3351299999999999</v>
      </c>
      <c r="N16">
        <v>1.3350500000000001</v>
      </c>
      <c r="O16">
        <v>1.3351200000000001</v>
      </c>
    </row>
    <row r="19" spans="1:15" x14ac:dyDescent="0.2">
      <c r="A19" s="3" t="s">
        <v>6</v>
      </c>
      <c r="B19" t="s">
        <v>5</v>
      </c>
      <c r="C19">
        <v>463</v>
      </c>
      <c r="D19" s="10">
        <f>C19*150/200</f>
        <v>347.25</v>
      </c>
      <c r="E19" s="10">
        <f t="shared" ref="E19:I19" si="3">D19*150/200</f>
        <v>260.4375</v>
      </c>
      <c r="F19" s="10">
        <f t="shared" si="3"/>
        <v>195.328125</v>
      </c>
      <c r="G19" s="10">
        <f t="shared" si="3"/>
        <v>146.49609375</v>
      </c>
      <c r="H19" s="10">
        <f>G19*150/200</f>
        <v>109.8720703125</v>
      </c>
      <c r="I19" s="10">
        <f t="shared" si="3"/>
        <v>82.404052734375</v>
      </c>
      <c r="J19" s="10">
        <f>I19*150/200</f>
        <v>61.80303955078125</v>
      </c>
      <c r="K19" s="10">
        <f>J19*150/200</f>
        <v>46.352279663085938</v>
      </c>
      <c r="L19" s="1">
        <v>83</v>
      </c>
      <c r="M19" s="10">
        <f t="shared" ref="M19:O19" si="4">L19*100/150</f>
        <v>55.333333333333336</v>
      </c>
      <c r="N19" s="10">
        <f t="shared" si="4"/>
        <v>36.888888888888893</v>
      </c>
      <c r="O19" s="10">
        <f t="shared" si="4"/>
        <v>24.592592592592595</v>
      </c>
    </row>
    <row r="20" spans="1:15" x14ac:dyDescent="0.2">
      <c r="A20" s="1" t="s">
        <v>12</v>
      </c>
      <c r="B20" s="1" t="s">
        <v>14</v>
      </c>
      <c r="C20">
        <v>0.53200000000000003</v>
      </c>
      <c r="D20">
        <v>0.45600000000000002</v>
      </c>
      <c r="E20">
        <v>0.42399999999999999</v>
      </c>
      <c r="F20">
        <v>0.40500000000000003</v>
      </c>
      <c r="G20">
        <v>0.33800000000000002</v>
      </c>
      <c r="H20">
        <v>0.35499999999999998</v>
      </c>
      <c r="I20">
        <v>0.35399999999999998</v>
      </c>
      <c r="J20">
        <v>0.33800000000000002</v>
      </c>
      <c r="K20">
        <v>0.32500000000000001</v>
      </c>
      <c r="L20" s="1">
        <v>0.42299999999999999</v>
      </c>
      <c r="M20" s="1">
        <v>0.35499999999999998</v>
      </c>
      <c r="N20" s="1">
        <v>0.34499999999999997</v>
      </c>
      <c r="O20" s="1">
        <v>0.35399999999999998</v>
      </c>
    </row>
    <row r="21" spans="1:15" x14ac:dyDescent="0.2">
      <c r="A21" s="1" t="s">
        <v>13</v>
      </c>
      <c r="B21" s="1" t="s">
        <v>14</v>
      </c>
      <c r="C21">
        <v>3.0619999999999998</v>
      </c>
      <c r="D21">
        <v>2.992</v>
      </c>
      <c r="E21">
        <v>2.9750000000000001</v>
      </c>
      <c r="F21">
        <v>2.9239999999999999</v>
      </c>
      <c r="G21">
        <v>2.899</v>
      </c>
      <c r="H21">
        <v>2.887</v>
      </c>
      <c r="I21">
        <v>2.8780000000000001</v>
      </c>
      <c r="J21">
        <v>2.8650000000000002</v>
      </c>
      <c r="K21">
        <v>2.851</v>
      </c>
      <c r="L21" s="1">
        <v>2.9089999999999998</v>
      </c>
      <c r="M21" s="1">
        <v>2.8679999999999999</v>
      </c>
      <c r="N21" s="1">
        <v>2.8519999999999999</v>
      </c>
      <c r="O21" s="1">
        <v>2.859</v>
      </c>
    </row>
    <row r="22" spans="1:15" x14ac:dyDescent="0.2">
      <c r="A22" t="s">
        <v>11</v>
      </c>
    </row>
    <row r="23" spans="1:15" x14ac:dyDescent="0.2">
      <c r="A23" s="1" t="s">
        <v>12</v>
      </c>
      <c r="B23" s="1" t="s">
        <v>15</v>
      </c>
      <c r="C23">
        <v>1.3431200000000001</v>
      </c>
      <c r="D23">
        <v>1.3423700000000001</v>
      </c>
      <c r="E23">
        <v>1.34206</v>
      </c>
      <c r="F23">
        <v>1.3418699999999999</v>
      </c>
      <c r="G23">
        <v>1.3412200000000001</v>
      </c>
      <c r="H23">
        <v>1.34138</v>
      </c>
      <c r="I23">
        <v>1.34137</v>
      </c>
      <c r="J23">
        <v>1.3412200000000001</v>
      </c>
      <c r="K23">
        <v>1.3410899999999999</v>
      </c>
      <c r="L23">
        <v>1.34205</v>
      </c>
      <c r="M23">
        <v>1.34138</v>
      </c>
      <c r="N23">
        <v>1.3412900000000001</v>
      </c>
      <c r="O23">
        <v>1.34137</v>
      </c>
    </row>
    <row r="24" spans="1:15" x14ac:dyDescent="0.2">
      <c r="A24" s="1" t="s">
        <v>13</v>
      </c>
      <c r="B24" s="1" t="s">
        <v>15</v>
      </c>
      <c r="C24">
        <v>1.3372900000000001</v>
      </c>
      <c r="D24">
        <v>1.3366</v>
      </c>
      <c r="E24">
        <v>1.33643</v>
      </c>
      <c r="F24">
        <v>1.33592</v>
      </c>
      <c r="G24">
        <v>1.33568</v>
      </c>
      <c r="H24">
        <v>1.3355600000000001</v>
      </c>
      <c r="I24">
        <v>1.3354699999999999</v>
      </c>
      <c r="J24">
        <v>1.33534</v>
      </c>
      <c r="K24">
        <v>1.3351999999999999</v>
      </c>
      <c r="L24">
        <v>1.3357699999999999</v>
      </c>
      <c r="M24">
        <v>1.3353699999999999</v>
      </c>
      <c r="N24">
        <v>1.33521</v>
      </c>
      <c r="O24">
        <v>1.33528</v>
      </c>
    </row>
    <row r="26" spans="1:15" x14ac:dyDescent="0.2">
      <c r="A26" s="1"/>
    </row>
    <row r="27" spans="1:15" x14ac:dyDescent="0.2">
      <c r="A27" s="1"/>
    </row>
    <row r="28" spans="1:15" x14ac:dyDescent="0.2">
      <c r="A28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Carlsson</dc:creator>
  <cp:lastModifiedBy>Andreas Carlsson</cp:lastModifiedBy>
  <dcterms:created xsi:type="dcterms:W3CDTF">2024-10-17T13:16:04Z</dcterms:created>
  <dcterms:modified xsi:type="dcterms:W3CDTF">2025-09-01T13:23:38Z</dcterms:modified>
</cp:coreProperties>
</file>