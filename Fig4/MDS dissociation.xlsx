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unduniversityo365-my.sharepoint.com/personal/an8138ca_lu_se/Documents/Doktorandutbildning/Chaperones/DNAJB6/JB6 self assembly - various conditions/For submission/Data/Fig4/"/>
    </mc:Choice>
  </mc:AlternateContent>
  <xr:revisionPtr revIDLastSave="39" documentId="13_ncr:1_{C4E934B7-149A-784A-B896-2399CCD24016}" xr6:coauthVersionLast="47" xr6:coauthVersionMax="47" xr10:uidLastSave="{9DBF46CB-7BE8-4240-9C30-F63C0C869BEE}"/>
  <bookViews>
    <workbookView xWindow="0" yWindow="1000" windowWidth="26440" windowHeight="15440" xr2:uid="{FAF493F0-6247-8C49-9E2D-B5B04E45D19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2" i="1" l="1"/>
  <c r="I17" i="1"/>
  <c r="I18" i="1"/>
  <c r="G17" i="1"/>
  <c r="H17" i="1"/>
  <c r="G18" i="1"/>
  <c r="H18" i="1"/>
  <c r="G12" i="1"/>
  <c r="F12" i="1"/>
  <c r="I35" i="1"/>
  <c r="I36" i="1"/>
  <c r="D17" i="1"/>
  <c r="E17" i="1"/>
  <c r="F17" i="1"/>
  <c r="D18" i="1"/>
  <c r="E18" i="1"/>
  <c r="F18" i="1"/>
  <c r="I53" i="1"/>
  <c r="I54" i="1"/>
  <c r="H35" i="1"/>
  <c r="H36" i="1"/>
  <c r="D35" i="1"/>
  <c r="E35" i="1"/>
  <c r="F35" i="1"/>
  <c r="G35" i="1"/>
  <c r="D36" i="1"/>
  <c r="E36" i="1"/>
  <c r="F36" i="1"/>
  <c r="G36" i="1"/>
  <c r="C35" i="1"/>
  <c r="C36" i="1"/>
  <c r="C17" i="1"/>
  <c r="C18" i="1"/>
  <c r="B36" i="1"/>
  <c r="B35" i="1"/>
  <c r="B18" i="1"/>
  <c r="B17" i="1"/>
  <c r="H3" i="1"/>
  <c r="H9" i="1"/>
  <c r="H8" i="1"/>
  <c r="G3" i="1"/>
  <c r="G8" i="1"/>
  <c r="G9" i="1"/>
  <c r="D3" i="1" l="1"/>
  <c r="E3" i="1"/>
  <c r="F3" i="1"/>
  <c r="I3" i="1"/>
  <c r="J3" i="1"/>
  <c r="K3" i="1"/>
  <c r="O9" i="1"/>
  <c r="N9" i="1"/>
  <c r="M9" i="1"/>
  <c r="L9" i="1"/>
  <c r="K9" i="1"/>
  <c r="J9" i="1"/>
  <c r="I9" i="1"/>
  <c r="F9" i="1"/>
  <c r="E9" i="1"/>
  <c r="D9" i="1"/>
  <c r="C9" i="1"/>
  <c r="B9" i="1"/>
  <c r="O8" i="1"/>
  <c r="N8" i="1"/>
  <c r="M8" i="1"/>
  <c r="L8" i="1"/>
  <c r="K8" i="1"/>
  <c r="J8" i="1"/>
  <c r="I8" i="1"/>
  <c r="F8" i="1"/>
  <c r="E8" i="1"/>
  <c r="D8" i="1"/>
  <c r="C8" i="1"/>
  <c r="B8" i="1"/>
  <c r="O2" i="1"/>
  <c r="O3" i="1" s="1"/>
  <c r="N2" i="1"/>
  <c r="N3" i="1" s="1"/>
  <c r="M2" i="1"/>
  <c r="M3" i="1" s="1"/>
  <c r="L2" i="1"/>
  <c r="L3" i="1" s="1"/>
  <c r="C2" i="1"/>
  <c r="C3" i="1" s="1"/>
  <c r="B2" i="1"/>
  <c r="B3" i="1" s="1"/>
  <c r="F26" i="1" l="1"/>
  <c r="F27" i="1"/>
  <c r="H27" i="1"/>
  <c r="G27" i="1"/>
  <c r="E27" i="1"/>
  <c r="D27" i="1"/>
  <c r="C27" i="1"/>
  <c r="B27" i="1"/>
  <c r="H26" i="1"/>
  <c r="G26" i="1"/>
  <c r="E26" i="1"/>
  <c r="D26" i="1"/>
  <c r="C26" i="1"/>
  <c r="B26" i="1"/>
  <c r="H54" i="1"/>
  <c r="G54" i="1"/>
  <c r="F54" i="1"/>
  <c r="E54" i="1"/>
  <c r="D54" i="1"/>
  <c r="C54" i="1"/>
  <c r="B54" i="1"/>
  <c r="H53" i="1"/>
  <c r="G53" i="1"/>
  <c r="F53" i="1"/>
  <c r="E53" i="1"/>
  <c r="D53" i="1"/>
  <c r="C53" i="1"/>
  <c r="B53" i="1"/>
  <c r="H44" i="1"/>
  <c r="H45" i="1"/>
  <c r="G44" i="1"/>
  <c r="G45" i="1"/>
  <c r="E45" i="1"/>
  <c r="E44" i="1"/>
  <c r="F44" i="1"/>
  <c r="F45" i="1"/>
  <c r="C44" i="1"/>
  <c r="D44" i="1"/>
  <c r="C45" i="1"/>
  <c r="D45" i="1"/>
  <c r="B45" i="1"/>
  <c r="B44" i="1"/>
</calcChain>
</file>

<file path=xl/sharedStrings.xml><?xml version="1.0" encoding="utf-8"?>
<sst xmlns="http://schemas.openxmlformats.org/spreadsheetml/2006/main" count="31" uniqueCount="12">
  <si>
    <t>37 °C</t>
  </si>
  <si>
    <t>time /min</t>
  </si>
  <si>
    <t>mean RH</t>
  </si>
  <si>
    <t>RH</t>
  </si>
  <si>
    <t>std RH</t>
  </si>
  <si>
    <t>29 °C</t>
  </si>
  <si>
    <t>t /h</t>
  </si>
  <si>
    <t>t/ min</t>
  </si>
  <si>
    <t>40 °C</t>
  </si>
  <si>
    <t>25 °C</t>
  </si>
  <si>
    <t>33 °C</t>
  </si>
  <si>
    <t>22 °C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</si>
</sst>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scheme val="minor"/>
    </font>
    <font>
      <sz val="10"/>
      <color rgb="FF000000"/>
      <name val="Helvetica Neue"/>
      <family val="2"/>
    </font>
    <font>
      <sz val="12"/>
      <color theme="1"/>
      <name val="Helvetica"/>
      <family val="2"/>
    </font>
    <font>
      <sz val="10"/>
      <color rgb="FFFF0000"/>
      <name val="Helvetica Neue"/>
      <family val="2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2" fontId="0" fillId="0" borderId="0" xfId="0" applyNumberFormat="1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B4930E-7B35-A34A-B71D-5FDB6ECADDDD}">
  <dimension ref="A1:P105"/>
  <sheetViews>
    <sheetView tabSelected="1" zoomScale="160" zoomScaleNormal="160" workbookViewId="0">
      <selection activeCell="D9" sqref="D9"/>
    </sheetView>
  </sheetViews>
  <sheetFormatPr baseColWidth="10" defaultRowHeight="16" x14ac:dyDescent="0.2"/>
  <cols>
    <col min="1" max="1" width="17.1640625" customWidth="1"/>
  </cols>
  <sheetData>
    <row r="1" spans="1:16" x14ac:dyDescent="0.2">
      <c r="A1" s="4" t="s">
        <v>11</v>
      </c>
    </row>
    <row r="2" spans="1:16" x14ac:dyDescent="0.2">
      <c r="A2" t="s">
        <v>6</v>
      </c>
      <c r="B2">
        <f>8/60</f>
        <v>0.13333333333333333</v>
      </c>
      <c r="C2">
        <f>10/60</f>
        <v>0.16666666666666666</v>
      </c>
      <c r="D2">
        <v>1</v>
      </c>
      <c r="E2">
        <v>4</v>
      </c>
      <c r="F2">
        <v>6</v>
      </c>
      <c r="G2">
        <v>23</v>
      </c>
      <c r="H2" s="6">
        <v>28</v>
      </c>
      <c r="I2">
        <v>34</v>
      </c>
      <c r="J2">
        <v>50</v>
      </c>
      <c r="K2">
        <v>65</v>
      </c>
      <c r="L2">
        <f>5*24</f>
        <v>120</v>
      </c>
      <c r="M2">
        <f>6*24</f>
        <v>144</v>
      </c>
      <c r="N2">
        <f>8*24</f>
        <v>192</v>
      </c>
      <c r="O2">
        <f>11*24</f>
        <v>264</v>
      </c>
    </row>
    <row r="3" spans="1:16" x14ac:dyDescent="0.2">
      <c r="A3" t="s">
        <v>7</v>
      </c>
      <c r="B3">
        <f>B2*60</f>
        <v>8</v>
      </c>
      <c r="C3">
        <f t="shared" ref="C3:F3" si="0">C2*60</f>
        <v>10</v>
      </c>
      <c r="D3">
        <f t="shared" si="0"/>
        <v>60</v>
      </c>
      <c r="E3">
        <f t="shared" si="0"/>
        <v>240</v>
      </c>
      <c r="F3">
        <f t="shared" si="0"/>
        <v>360</v>
      </c>
      <c r="G3">
        <f>G2*60</f>
        <v>1380</v>
      </c>
      <c r="H3">
        <f>H2*60</f>
        <v>1680</v>
      </c>
      <c r="I3">
        <f>I2*60</f>
        <v>2040</v>
      </c>
      <c r="J3">
        <f>J2*60</f>
        <v>3000</v>
      </c>
      <c r="K3">
        <f>K2*60</f>
        <v>3900</v>
      </c>
      <c r="L3">
        <f>L2*60</f>
        <v>7200</v>
      </c>
      <c r="M3">
        <f>M2*60</f>
        <v>8640</v>
      </c>
      <c r="N3">
        <f>N2*60</f>
        <v>11520</v>
      </c>
      <c r="O3">
        <f>O2*60</f>
        <v>15840</v>
      </c>
    </row>
    <row r="4" spans="1:16" x14ac:dyDescent="0.2">
      <c r="A4" t="s">
        <v>3</v>
      </c>
      <c r="B4" s="1">
        <v>7.13</v>
      </c>
      <c r="C4" s="1">
        <v>8.42</v>
      </c>
      <c r="D4" s="1">
        <v>6.87</v>
      </c>
      <c r="E4" s="1">
        <v>6.17</v>
      </c>
      <c r="F4" s="1">
        <v>6.93</v>
      </c>
      <c r="G4" s="1">
        <v>6.98</v>
      </c>
      <c r="H4" s="1">
        <v>6.63</v>
      </c>
      <c r="I4" s="1">
        <v>5.52</v>
      </c>
      <c r="J4" s="1">
        <v>6.13</v>
      </c>
      <c r="K4" s="1">
        <v>5.49</v>
      </c>
      <c r="L4" s="1">
        <v>4.96</v>
      </c>
      <c r="M4" s="1">
        <v>5.27</v>
      </c>
      <c r="N4" s="1">
        <v>4.57</v>
      </c>
      <c r="O4" s="1">
        <v>4.34</v>
      </c>
      <c r="P4" s="1"/>
    </row>
    <row r="5" spans="1:16" x14ac:dyDescent="0.2">
      <c r="B5" s="1">
        <v>7.42</v>
      </c>
      <c r="C5" s="1">
        <v>7.55</v>
      </c>
      <c r="D5" s="1">
        <v>7.86</v>
      </c>
      <c r="E5" s="1">
        <v>7.36</v>
      </c>
      <c r="F5" s="1">
        <v>6.76</v>
      </c>
      <c r="G5" s="1">
        <v>6.12</v>
      </c>
      <c r="H5" s="1">
        <v>6.31</v>
      </c>
      <c r="I5" s="1">
        <v>5.81</v>
      </c>
      <c r="J5" s="1">
        <v>5.52</v>
      </c>
      <c r="K5" s="1">
        <v>5.15</v>
      </c>
      <c r="L5" s="1">
        <v>5.15</v>
      </c>
      <c r="M5" s="1">
        <v>3.64</v>
      </c>
      <c r="N5" s="1">
        <v>4.42</v>
      </c>
      <c r="O5" s="1">
        <v>4.9000000000000004</v>
      </c>
      <c r="P5" s="1"/>
    </row>
    <row r="6" spans="1:16" x14ac:dyDescent="0.2">
      <c r="B6" s="1">
        <v>6.86</v>
      </c>
      <c r="C6" s="1">
        <v>7.59</v>
      </c>
      <c r="D6" s="1">
        <v>7.88</v>
      </c>
      <c r="E6" s="1">
        <v>7.72</v>
      </c>
      <c r="F6" s="1">
        <v>6.66</v>
      </c>
      <c r="G6" s="1">
        <v>6.7</v>
      </c>
      <c r="H6" s="1">
        <v>7.21</v>
      </c>
      <c r="I6" s="1">
        <v>5.93</v>
      </c>
      <c r="J6" s="1">
        <v>5.75</v>
      </c>
      <c r="K6" s="1">
        <v>5.28</v>
      </c>
      <c r="L6" s="1">
        <v>4.74</v>
      </c>
      <c r="M6" s="1">
        <v>4.7</v>
      </c>
      <c r="N6" s="1">
        <v>3.91</v>
      </c>
      <c r="O6" s="1">
        <v>4.75</v>
      </c>
      <c r="P6" s="1"/>
    </row>
    <row r="7" spans="1:16" x14ac:dyDescent="0.2">
      <c r="B7" s="1">
        <v>7.14</v>
      </c>
      <c r="C7" s="1">
        <v>8.34</v>
      </c>
      <c r="D7" s="1">
        <v>7.65</v>
      </c>
      <c r="E7" s="1">
        <v>7.58</v>
      </c>
      <c r="F7" s="1">
        <v>6.93</v>
      </c>
      <c r="G7" s="5">
        <v>6.6</v>
      </c>
      <c r="H7" s="1">
        <v>6.2</v>
      </c>
      <c r="I7" s="1">
        <v>6.23</v>
      </c>
      <c r="J7" s="1">
        <v>5.65</v>
      </c>
      <c r="K7" s="1">
        <v>5.18</v>
      </c>
      <c r="L7" s="1">
        <v>5.0999999999999996</v>
      </c>
      <c r="M7" s="1">
        <v>4.96</v>
      </c>
      <c r="N7" s="1">
        <v>5.0199999999999996</v>
      </c>
      <c r="O7" s="1">
        <v>3.81</v>
      </c>
      <c r="P7" s="1"/>
    </row>
    <row r="8" spans="1:16" x14ac:dyDescent="0.2">
      <c r="A8" t="s">
        <v>2</v>
      </c>
      <c r="B8">
        <f>AVERAGE(B4:B7)</f>
        <v>7.1375000000000002</v>
      </c>
      <c r="C8">
        <f>AVERAGE(C4:C7)</f>
        <v>7.9749999999999996</v>
      </c>
      <c r="D8">
        <f>AVERAGE(D4:D7)</f>
        <v>7.5649999999999995</v>
      </c>
      <c r="E8">
        <f t="shared" ref="E8" si="1">AVERAGE(E4:E7)</f>
        <v>7.2074999999999996</v>
      </c>
      <c r="F8">
        <f>AVERAGE(F4:F7)</f>
        <v>6.82</v>
      </c>
      <c r="G8">
        <f>AVERAGE(G5:G7)</f>
        <v>6.4733333333333336</v>
      </c>
      <c r="H8">
        <f t="shared" ref="H8" si="2">AVERAGE(H4,H6:H7)</f>
        <v>6.68</v>
      </c>
      <c r="I8">
        <f>AVERAGE(I4:I7)</f>
        <v>5.8724999999999996</v>
      </c>
      <c r="J8">
        <f t="shared" ref="J8" si="3">AVERAGE(J4:J7)</f>
        <v>5.7624999999999993</v>
      </c>
      <c r="K8">
        <f>AVERAGE(K4:K7)</f>
        <v>5.2750000000000004</v>
      </c>
      <c r="L8">
        <f>AVERAGE(L4:L7)</f>
        <v>4.9874999999999998</v>
      </c>
      <c r="M8">
        <f t="shared" ref="M8:O8" si="4">AVERAGE(M4:M7)</f>
        <v>4.6425000000000001</v>
      </c>
      <c r="N8">
        <f t="shared" si="4"/>
        <v>4.4800000000000004</v>
      </c>
      <c r="O8">
        <f t="shared" si="4"/>
        <v>4.45</v>
      </c>
    </row>
    <row r="9" spans="1:16" x14ac:dyDescent="0.2">
      <c r="A9" t="s">
        <v>4</v>
      </c>
      <c r="B9">
        <f>STDEV(B4:B7)</f>
        <v>0.22867371223353722</v>
      </c>
      <c r="C9">
        <f>STDEV(C4:C7)</f>
        <v>0.46907710808920677</v>
      </c>
      <c r="D9">
        <f>STDEV(D4:D7)</f>
        <v>0.47486840282335063</v>
      </c>
      <c r="E9">
        <f t="shared" ref="E9" si="5">STDEV(E4:E7)</f>
        <v>0.70736011573549529</v>
      </c>
      <c r="F9">
        <f>STDEV(F4:F7)</f>
        <v>0.13341664064126316</v>
      </c>
      <c r="G9">
        <f>STDEV(G5:G7)</f>
        <v>0.31005375877955954</v>
      </c>
      <c r="H9">
        <f t="shared" ref="H9" si="6">STDEV(H4,H6:H7)</f>
        <v>0.50685303589896735</v>
      </c>
      <c r="I9">
        <f>STDEV(I4:I7)</f>
        <v>0.2939812919217823</v>
      </c>
      <c r="J9">
        <f t="shared" ref="J9" si="7">STDEV(J4:J7)</f>
        <v>0.262472220752343</v>
      </c>
      <c r="K9">
        <f>STDEV(K4:K7)</f>
        <v>0.15373136743466947</v>
      </c>
      <c r="L9">
        <f>STDEV(L4:L7)</f>
        <v>0.18355289882392661</v>
      </c>
      <c r="M9">
        <f t="shared" ref="M9:O9" si="8">STDEV(M4:M7)</f>
        <v>0.70778410079157217</v>
      </c>
      <c r="N9">
        <f t="shared" si="8"/>
        <v>0.45760244754590179</v>
      </c>
      <c r="O9">
        <f t="shared" si="8"/>
        <v>0.48792075859371548</v>
      </c>
    </row>
    <row r="10" spans="1:16" x14ac:dyDescent="0.2"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</row>
    <row r="11" spans="1:16" x14ac:dyDescent="0.2">
      <c r="A11" s="4" t="s">
        <v>9</v>
      </c>
    </row>
    <row r="12" spans="1:16" x14ac:dyDescent="0.2">
      <c r="A12" t="s">
        <v>1</v>
      </c>
      <c r="B12">
        <v>1</v>
      </c>
      <c r="C12">
        <v>15</v>
      </c>
      <c r="D12">
        <v>150</v>
      </c>
      <c r="E12">
        <v>500</v>
      </c>
      <c r="F12">
        <f>23*60</f>
        <v>1380</v>
      </c>
      <c r="G12">
        <f>32*60</f>
        <v>1920</v>
      </c>
      <c r="H12">
        <v>6000</v>
      </c>
      <c r="I12">
        <f>60*24*6</f>
        <v>8640</v>
      </c>
    </row>
    <row r="13" spans="1:16" x14ac:dyDescent="0.2">
      <c r="A13" t="s">
        <v>3</v>
      </c>
      <c r="B13" s="1">
        <v>7.36</v>
      </c>
      <c r="C13" s="1">
        <v>7.24</v>
      </c>
      <c r="D13">
        <v>7.07</v>
      </c>
      <c r="E13">
        <v>6.16</v>
      </c>
      <c r="F13">
        <v>5.1100000000000003</v>
      </c>
      <c r="G13">
        <v>4.57</v>
      </c>
      <c r="H13">
        <v>4.1100000000000003</v>
      </c>
      <c r="I13">
        <v>4.25</v>
      </c>
    </row>
    <row r="14" spans="1:16" x14ac:dyDescent="0.2">
      <c r="B14" s="1">
        <v>7.23</v>
      </c>
      <c r="C14" s="1">
        <v>6.76</v>
      </c>
      <c r="D14">
        <v>6.68</v>
      </c>
      <c r="E14">
        <v>6.01</v>
      </c>
      <c r="F14">
        <v>4.84</v>
      </c>
      <c r="G14">
        <v>4.8600000000000003</v>
      </c>
      <c r="H14">
        <v>3.86</v>
      </c>
      <c r="I14">
        <v>4.2699999999999996</v>
      </c>
    </row>
    <row r="15" spans="1:16" x14ac:dyDescent="0.2">
      <c r="B15" s="1">
        <v>7.2</v>
      </c>
      <c r="C15" s="1">
        <v>7.42</v>
      </c>
      <c r="D15">
        <v>6.74</v>
      </c>
      <c r="E15">
        <v>6.32</v>
      </c>
      <c r="F15">
        <v>4.9000000000000004</v>
      </c>
      <c r="G15">
        <v>4.18</v>
      </c>
      <c r="H15">
        <v>4.0199999999999996</v>
      </c>
      <c r="I15">
        <v>4.18</v>
      </c>
    </row>
    <row r="16" spans="1:16" x14ac:dyDescent="0.2">
      <c r="B16" s="1">
        <v>7.41</v>
      </c>
      <c r="C16" s="1">
        <v>7.21</v>
      </c>
      <c r="D16">
        <v>6.84</v>
      </c>
      <c r="F16">
        <v>4.88</v>
      </c>
      <c r="G16">
        <v>4.2</v>
      </c>
      <c r="H16">
        <v>3.98</v>
      </c>
    </row>
    <row r="17" spans="1:15" x14ac:dyDescent="0.2">
      <c r="A17" t="s">
        <v>2</v>
      </c>
      <c r="B17">
        <f>AVERAGE(B13:B16)</f>
        <v>7.3</v>
      </c>
      <c r="C17">
        <f>AVERAGE(C13:C16)</f>
        <v>7.1575000000000006</v>
      </c>
      <c r="D17">
        <f t="shared" ref="D17" si="9">AVERAGE(D13:D16)</f>
        <v>6.8325000000000005</v>
      </c>
      <c r="E17">
        <f>AVERAGE(E13:E16)</f>
        <v>6.163333333333334</v>
      </c>
      <c r="F17">
        <f>AVERAGE(F13:F16)</f>
        <v>4.9325000000000001</v>
      </c>
      <c r="G17">
        <f t="shared" ref="G17:H17" si="10">AVERAGE(G13:G16)</f>
        <v>4.4524999999999997</v>
      </c>
      <c r="H17">
        <f t="shared" si="10"/>
        <v>3.9925000000000002</v>
      </c>
      <c r="I17">
        <f>AVERAGE(I13:I16)</f>
        <v>4.2333333333333334</v>
      </c>
    </row>
    <row r="18" spans="1:15" x14ac:dyDescent="0.2">
      <c r="A18" t="s">
        <v>4</v>
      </c>
      <c r="B18">
        <f>STDEV(B13:B16)</f>
        <v>0.10099504938362074</v>
      </c>
      <c r="C18">
        <f>STDEV(C13:C16)</f>
        <v>0.28075790282732926</v>
      </c>
      <c r="D18">
        <f t="shared" ref="D18" si="11">STDEV(D13:D16)</f>
        <v>0.17153716798408461</v>
      </c>
      <c r="E18">
        <f>STDEV(E13:E16)</f>
        <v>0.15502687938978005</v>
      </c>
      <c r="F18">
        <f>STDEV(F13:F16)</f>
        <v>0.12093386622447842</v>
      </c>
      <c r="G18">
        <f t="shared" ref="G18:H18" si="12">STDEV(G13:G16)</f>
        <v>0.32551241655785335</v>
      </c>
      <c r="H18">
        <f t="shared" si="12"/>
        <v>0.1037223858833442</v>
      </c>
      <c r="I18">
        <f t="shared" ref="I18" si="13">STDEV(I13:I16)</f>
        <v>4.725815626252608E-2</v>
      </c>
    </row>
    <row r="20" spans="1:15" x14ac:dyDescent="0.2">
      <c r="A20" s="4" t="s">
        <v>5</v>
      </c>
      <c r="I20" s="1"/>
      <c r="J20" s="1"/>
      <c r="K20" s="1"/>
      <c r="L20" s="1"/>
      <c r="M20" s="1"/>
      <c r="N20" s="1"/>
      <c r="O20" s="1"/>
    </row>
    <row r="21" spans="1:15" x14ac:dyDescent="0.2">
      <c r="A21" t="s">
        <v>1</v>
      </c>
      <c r="B21">
        <v>1</v>
      </c>
      <c r="C21">
        <v>80</v>
      </c>
      <c r="D21">
        <v>160</v>
      </c>
      <c r="E21">
        <v>300</v>
      </c>
      <c r="F21">
        <v>440</v>
      </c>
      <c r="G21">
        <v>1035</v>
      </c>
      <c r="H21">
        <v>1600</v>
      </c>
      <c r="I21" s="1"/>
      <c r="L21" s="1"/>
      <c r="M21" s="1"/>
      <c r="N21" s="1"/>
      <c r="O21" s="1"/>
    </row>
    <row r="22" spans="1:15" x14ac:dyDescent="0.2">
      <c r="A22" t="s">
        <v>3</v>
      </c>
      <c r="B22">
        <v>7.45</v>
      </c>
      <c r="C22">
        <v>6.12</v>
      </c>
      <c r="D22">
        <v>5.7</v>
      </c>
      <c r="E22">
        <v>4.43</v>
      </c>
      <c r="F22">
        <v>4.62</v>
      </c>
      <c r="G22">
        <v>4.0199999999999996</v>
      </c>
      <c r="H22">
        <v>4.17</v>
      </c>
      <c r="I22" s="1"/>
      <c r="L22" s="1"/>
      <c r="M22" s="1"/>
      <c r="O22" s="1"/>
    </row>
    <row r="23" spans="1:15" x14ac:dyDescent="0.2">
      <c r="B23">
        <v>7.97</v>
      </c>
      <c r="C23">
        <v>6.2</v>
      </c>
      <c r="D23">
        <v>5.82</v>
      </c>
      <c r="E23">
        <v>4.66</v>
      </c>
      <c r="F23">
        <v>5.43</v>
      </c>
      <c r="G23">
        <v>4.09</v>
      </c>
      <c r="H23">
        <v>3.17</v>
      </c>
      <c r="N23" s="5"/>
    </row>
    <row r="24" spans="1:15" x14ac:dyDescent="0.2">
      <c r="B24">
        <v>7.74</v>
      </c>
      <c r="C24">
        <v>6.14</v>
      </c>
      <c r="E24">
        <v>4.8899999999999997</v>
      </c>
      <c r="F24">
        <v>4.68</v>
      </c>
      <c r="G24">
        <v>3.95</v>
      </c>
      <c r="H24">
        <v>4.0599999999999996</v>
      </c>
      <c r="N24" s="5"/>
    </row>
    <row r="26" spans="1:15" x14ac:dyDescent="0.2">
      <c r="A26" t="s">
        <v>2</v>
      </c>
      <c r="B26">
        <f>AVERAGE(B22:B25)</f>
        <v>7.72</v>
      </c>
      <c r="C26">
        <f t="shared" ref="C26:D26" si="14">AVERAGE(C22:C25)</f>
        <v>6.1533333333333333</v>
      </c>
      <c r="D26">
        <f t="shared" si="14"/>
        <v>5.76</v>
      </c>
      <c r="E26">
        <f>AVERAGE(E22:E24)</f>
        <v>4.66</v>
      </c>
      <c r="F26">
        <f>AVERAGE(F22:F24)</f>
        <v>4.91</v>
      </c>
      <c r="G26">
        <f>AVERAGE(G22:G25)</f>
        <v>4.0199999999999996</v>
      </c>
      <c r="H26">
        <f>AVERAGE(H22:H25)</f>
        <v>3.7999999999999994</v>
      </c>
    </row>
    <row r="27" spans="1:15" x14ac:dyDescent="0.2">
      <c r="A27" t="s">
        <v>4</v>
      </c>
      <c r="B27">
        <f>STDEV(B22:B25)</f>
        <v>0.26057628441590747</v>
      </c>
      <c r="C27">
        <f t="shared" ref="C27:D27" si="15">STDEV(C22:C25)</f>
        <v>4.1633319989322758E-2</v>
      </c>
      <c r="D27">
        <f t="shared" si="15"/>
        <v>8.4852813742385777E-2</v>
      </c>
      <c r="E27">
        <f>STDEV(E22:E24)</f>
        <v>0.22999999999999998</v>
      </c>
      <c r="F27">
        <f>STDEV(F22:F24)</f>
        <v>0.45133136385587019</v>
      </c>
      <c r="G27">
        <f>STDEV(G22:G25)</f>
        <v>6.999999999999984E-2</v>
      </c>
      <c r="H27">
        <f>STDEV(H22:H25)</f>
        <v>0.54836119483420698</v>
      </c>
    </row>
    <row r="29" spans="1:15" x14ac:dyDescent="0.2">
      <c r="A29" s="4" t="s">
        <v>10</v>
      </c>
      <c r="J29" s="1"/>
      <c r="K29" s="1"/>
    </row>
    <row r="30" spans="1:15" x14ac:dyDescent="0.2">
      <c r="A30" s="5" t="s">
        <v>1</v>
      </c>
      <c r="B30" s="5">
        <v>1</v>
      </c>
      <c r="C30">
        <v>15</v>
      </c>
      <c r="D30">
        <v>35</v>
      </c>
      <c r="E30" s="5">
        <v>50</v>
      </c>
      <c r="F30" s="5">
        <v>85</v>
      </c>
      <c r="G30" s="5">
        <v>155</v>
      </c>
      <c r="H30" s="5">
        <v>330</v>
      </c>
      <c r="I30" s="5">
        <v>1155</v>
      </c>
    </row>
    <row r="31" spans="1:15" x14ac:dyDescent="0.2">
      <c r="A31" s="5" t="s">
        <v>3</v>
      </c>
      <c r="B31" s="1">
        <v>7.08</v>
      </c>
      <c r="C31" s="1">
        <v>6.34</v>
      </c>
      <c r="D31" s="1">
        <v>5.35</v>
      </c>
      <c r="E31" s="1">
        <v>4.5199999999999996</v>
      </c>
      <c r="F31" s="1">
        <v>4.1900000000000004</v>
      </c>
      <c r="G31" s="5">
        <v>3.85</v>
      </c>
      <c r="H31" s="1">
        <v>3.65</v>
      </c>
      <c r="I31" s="1">
        <v>3.72</v>
      </c>
    </row>
    <row r="32" spans="1:15" x14ac:dyDescent="0.2">
      <c r="A32" s="5"/>
      <c r="B32" s="1">
        <v>6.28</v>
      </c>
      <c r="C32" s="1">
        <v>5.9</v>
      </c>
      <c r="D32" s="2"/>
      <c r="E32" s="1">
        <v>4.55</v>
      </c>
      <c r="F32" s="1">
        <v>5.16</v>
      </c>
      <c r="G32" s="5">
        <v>3.79</v>
      </c>
      <c r="H32" s="1">
        <v>3.51</v>
      </c>
      <c r="I32" s="1">
        <v>3.4</v>
      </c>
    </row>
    <row r="33" spans="1:9" x14ac:dyDescent="0.2">
      <c r="A33" s="5"/>
      <c r="B33" s="1">
        <v>7.38</v>
      </c>
      <c r="C33" s="1">
        <v>6.34</v>
      </c>
      <c r="D33" s="1">
        <v>5.4</v>
      </c>
      <c r="E33" s="1">
        <v>4.57</v>
      </c>
      <c r="F33" s="1">
        <v>3.98</v>
      </c>
      <c r="G33" s="5">
        <v>3.85</v>
      </c>
      <c r="H33" s="1">
        <v>3.67</v>
      </c>
      <c r="I33" s="1">
        <v>3.47</v>
      </c>
    </row>
    <row r="34" spans="1:9" x14ac:dyDescent="0.2">
      <c r="A34" s="5"/>
      <c r="B34" s="5"/>
      <c r="C34" s="1">
        <v>6.48</v>
      </c>
      <c r="D34" s="1">
        <v>5.26</v>
      </c>
      <c r="E34" s="5"/>
      <c r="F34" s="5"/>
      <c r="G34" s="5">
        <v>3.96</v>
      </c>
      <c r="H34" s="1">
        <v>3.71</v>
      </c>
      <c r="I34" s="1">
        <v>3.62</v>
      </c>
    </row>
    <row r="35" spans="1:9" x14ac:dyDescent="0.2">
      <c r="A35" s="5" t="s">
        <v>2</v>
      </c>
      <c r="B35">
        <f>AVERAGE(B31:B34)</f>
        <v>6.9133333333333331</v>
      </c>
      <c r="C35">
        <f>AVERAGE(C31:C34)</f>
        <v>6.2649999999999997</v>
      </c>
      <c r="D35">
        <f t="shared" ref="D35:H35" si="16">AVERAGE(D31:D34)</f>
        <v>5.336666666666666</v>
      </c>
      <c r="E35">
        <f t="shared" si="16"/>
        <v>4.5466666666666669</v>
      </c>
      <c r="F35">
        <f t="shared" si="16"/>
        <v>4.4433333333333342</v>
      </c>
      <c r="G35">
        <f t="shared" si="16"/>
        <v>3.8624999999999998</v>
      </c>
      <c r="H35">
        <f t="shared" si="16"/>
        <v>3.6349999999999998</v>
      </c>
      <c r="I35">
        <f>AVERAGE(I31:I34)</f>
        <v>3.5525000000000002</v>
      </c>
    </row>
    <row r="36" spans="1:9" x14ac:dyDescent="0.2">
      <c r="A36" s="5" t="s">
        <v>4</v>
      </c>
      <c r="B36">
        <f>STDEV(B31:B34)</f>
        <v>0.56862407030773254</v>
      </c>
      <c r="C36">
        <f>STDEV(C31:C34)</f>
        <v>0.25212430796467566</v>
      </c>
      <c r="D36">
        <f t="shared" ref="D36:G36" si="17">STDEV(D31:D34)</f>
        <v>7.094598884597611E-2</v>
      </c>
      <c r="E36">
        <f t="shared" si="17"/>
        <v>2.5166114784236179E-2</v>
      </c>
      <c r="F36">
        <f t="shared" si="17"/>
        <v>0.6294706771036529</v>
      </c>
      <c r="G36">
        <f t="shared" si="17"/>
        <v>7.0887234393789092E-2</v>
      </c>
      <c r="H36">
        <f t="shared" ref="H36" si="18">STDEV(H31:H34)</f>
        <v>8.6986589004666007E-2</v>
      </c>
      <c r="I36">
        <f t="shared" ref="I36" si="19">STDEV(I31:I34)</f>
        <v>0.14453949863849222</v>
      </c>
    </row>
    <row r="38" spans="1:9" x14ac:dyDescent="0.2">
      <c r="A38" s="4" t="s">
        <v>0</v>
      </c>
    </row>
    <row r="39" spans="1:9" x14ac:dyDescent="0.2">
      <c r="A39" t="s">
        <v>1</v>
      </c>
      <c r="B39">
        <v>3</v>
      </c>
      <c r="C39">
        <v>18</v>
      </c>
      <c r="D39">
        <v>30</v>
      </c>
      <c r="E39">
        <v>54</v>
      </c>
      <c r="F39">
        <v>84</v>
      </c>
      <c r="G39">
        <v>124</v>
      </c>
      <c r="H39">
        <v>190</v>
      </c>
    </row>
    <row r="40" spans="1:9" x14ac:dyDescent="0.2">
      <c r="A40" t="s">
        <v>3</v>
      </c>
      <c r="B40" s="1">
        <v>7.38</v>
      </c>
      <c r="C40" s="1">
        <v>5.29</v>
      </c>
      <c r="D40" s="1">
        <v>5.0999999999999996</v>
      </c>
      <c r="E40" s="1">
        <v>4.09</v>
      </c>
      <c r="F40" s="1">
        <v>4</v>
      </c>
      <c r="G40" s="1">
        <v>3.73</v>
      </c>
      <c r="H40" s="1">
        <v>3.62</v>
      </c>
    </row>
    <row r="41" spans="1:9" x14ac:dyDescent="0.2">
      <c r="B41" s="1">
        <v>7.16</v>
      </c>
      <c r="C41" s="1">
        <v>5.1100000000000003</v>
      </c>
      <c r="D41" s="2"/>
      <c r="E41" s="1">
        <v>4.0199999999999996</v>
      </c>
      <c r="F41" s="1">
        <v>3.73</v>
      </c>
      <c r="G41" s="1">
        <v>3.59</v>
      </c>
      <c r="H41" s="1">
        <v>3.61</v>
      </c>
    </row>
    <row r="42" spans="1:9" x14ac:dyDescent="0.2">
      <c r="B42" s="1">
        <v>6.75</v>
      </c>
      <c r="C42" s="1">
        <v>5.1100000000000003</v>
      </c>
      <c r="D42" s="1">
        <v>4.82</v>
      </c>
      <c r="E42" s="1">
        <v>4.01</v>
      </c>
      <c r="F42" s="1">
        <v>3.99</v>
      </c>
      <c r="G42" s="1">
        <v>3.55</v>
      </c>
      <c r="H42" s="1">
        <v>3.55</v>
      </c>
    </row>
    <row r="43" spans="1:9" x14ac:dyDescent="0.2">
      <c r="B43" s="1">
        <v>6.52</v>
      </c>
      <c r="C43" s="1">
        <v>5.27</v>
      </c>
      <c r="D43" s="1">
        <v>4.78</v>
      </c>
      <c r="E43" s="3"/>
      <c r="F43" s="1">
        <v>3.88</v>
      </c>
    </row>
    <row r="44" spans="1:9" x14ac:dyDescent="0.2">
      <c r="A44" t="s">
        <v>2</v>
      </c>
      <c r="B44">
        <f>AVERAGE(B40:B43)</f>
        <v>6.9524999999999997</v>
      </c>
      <c r="C44">
        <f t="shared" ref="C44:H44" si="20">AVERAGE(C40:C43)</f>
        <v>5.1950000000000003</v>
      </c>
      <c r="D44">
        <f t="shared" si="20"/>
        <v>4.8999999999999995</v>
      </c>
      <c r="E44">
        <f>AVERAGE(E40:E42)</f>
        <v>4.04</v>
      </c>
      <c r="F44">
        <f t="shared" si="20"/>
        <v>3.9000000000000004</v>
      </c>
      <c r="G44">
        <f t="shared" si="20"/>
        <v>3.6233333333333335</v>
      </c>
      <c r="H44">
        <f t="shared" si="20"/>
        <v>3.5933333333333337</v>
      </c>
    </row>
    <row r="45" spans="1:9" x14ac:dyDescent="0.2">
      <c r="A45" t="s">
        <v>4</v>
      </c>
      <c r="B45">
        <f>STDEV(B40:B43)</f>
        <v>0.38896229465934967</v>
      </c>
      <c r="C45">
        <f t="shared" ref="C45:D45" si="21">STDEV(C40:C43)</f>
        <v>9.8488578017960765E-2</v>
      </c>
      <c r="D45">
        <f t="shared" si="21"/>
        <v>0.1743559577416266</v>
      </c>
      <c r="E45">
        <f>STDEV(E40:E42)</f>
        <v>4.3588989435406823E-2</v>
      </c>
      <c r="F45">
        <f t="shared" ref="F45:G45" si="22">STDEV(F40:F43)</f>
        <v>0.12569805089976543</v>
      </c>
      <c r="G45">
        <f t="shared" si="22"/>
        <v>9.4516312525052243E-2</v>
      </c>
      <c r="H45">
        <f t="shared" ref="H45" si="23">STDEV(H40:H43)</f>
        <v>3.7859388972001938E-2</v>
      </c>
    </row>
    <row r="47" spans="1:9" x14ac:dyDescent="0.2">
      <c r="A47" s="4" t="s">
        <v>8</v>
      </c>
    </row>
    <row r="48" spans="1:9" x14ac:dyDescent="0.2">
      <c r="A48" t="s">
        <v>1</v>
      </c>
      <c r="B48">
        <v>1</v>
      </c>
      <c r="C48">
        <v>10</v>
      </c>
      <c r="D48">
        <v>24</v>
      </c>
      <c r="E48">
        <v>50</v>
      </c>
      <c r="F48">
        <v>65</v>
      </c>
      <c r="G48">
        <v>110</v>
      </c>
      <c r="H48">
        <v>480</v>
      </c>
      <c r="I48">
        <v>330</v>
      </c>
    </row>
    <row r="49" spans="1:9" x14ac:dyDescent="0.2">
      <c r="A49" t="s">
        <v>3</v>
      </c>
      <c r="B49">
        <v>7.32</v>
      </c>
      <c r="C49">
        <v>5.94</v>
      </c>
      <c r="D49">
        <v>4.3</v>
      </c>
      <c r="E49">
        <v>3.77</v>
      </c>
      <c r="F49">
        <v>3.28</v>
      </c>
      <c r="G49">
        <v>2.79</v>
      </c>
      <c r="H49">
        <v>3.81</v>
      </c>
      <c r="I49" s="1">
        <v>2.74</v>
      </c>
    </row>
    <row r="50" spans="1:9" x14ac:dyDescent="0.2">
      <c r="C50">
        <v>4.99</v>
      </c>
      <c r="D50">
        <v>4.32</v>
      </c>
      <c r="E50">
        <v>4.6399999999999997</v>
      </c>
      <c r="F50">
        <v>3.68</v>
      </c>
      <c r="G50">
        <v>3.72</v>
      </c>
      <c r="H50">
        <v>3.1</v>
      </c>
      <c r="I50" s="1">
        <v>3.04</v>
      </c>
    </row>
    <row r="51" spans="1:9" x14ac:dyDescent="0.2">
      <c r="C51">
        <v>5.22</v>
      </c>
      <c r="D51">
        <v>5.63</v>
      </c>
      <c r="E51">
        <v>3.95</v>
      </c>
      <c r="F51">
        <v>2.96</v>
      </c>
      <c r="G51">
        <v>3.35</v>
      </c>
      <c r="H51">
        <v>2.7</v>
      </c>
      <c r="I51" s="1">
        <v>3.01</v>
      </c>
    </row>
    <row r="52" spans="1:9" x14ac:dyDescent="0.2">
      <c r="I52" s="1">
        <v>3.19</v>
      </c>
    </row>
    <row r="53" spans="1:9" x14ac:dyDescent="0.2">
      <c r="A53" t="s">
        <v>2</v>
      </c>
      <c r="B53">
        <f>AVERAGE(B49:B52)</f>
        <v>7.32</v>
      </c>
      <c r="C53">
        <f t="shared" ref="C53" si="24">AVERAGE(C49:C52)</f>
        <v>5.3833333333333329</v>
      </c>
      <c r="D53">
        <f>AVERAGE(D49:D50)</f>
        <v>4.3100000000000005</v>
      </c>
      <c r="E53">
        <f>AVERAGE(E49:E51)</f>
        <v>4.12</v>
      </c>
      <c r="F53">
        <f t="shared" ref="F53:H53" si="25">AVERAGE(F49:F52)</f>
        <v>3.3066666666666666</v>
      </c>
      <c r="G53">
        <f t="shared" si="25"/>
        <v>3.2866666666666666</v>
      </c>
      <c r="H53">
        <f t="shared" si="25"/>
        <v>3.2033333333333331</v>
      </c>
      <c r="I53">
        <f t="shared" ref="I53" si="26">AVERAGE(I49:I52)</f>
        <v>2.9949999999999997</v>
      </c>
    </row>
    <row r="54" spans="1:9" x14ac:dyDescent="0.2">
      <c r="A54" t="s">
        <v>4</v>
      </c>
      <c r="B54" t="e">
        <f>STDEV(B49:B52)</f>
        <v>#DIV/0!</v>
      </c>
      <c r="C54">
        <f t="shared" ref="C54" si="27">STDEV(C49:C52)</f>
        <v>0.49561409718987365</v>
      </c>
      <c r="D54">
        <f>STDEV(D49:D50)</f>
        <v>1.4142135623731277E-2</v>
      </c>
      <c r="E54">
        <f>STDEV(E49:E51)</f>
        <v>0.45923850012820111</v>
      </c>
      <c r="F54">
        <f t="shared" ref="F54:H54" si="28">STDEV(F49:F52)</f>
        <v>0.36073998022583165</v>
      </c>
      <c r="G54">
        <f t="shared" si="28"/>
        <v>0.46822359331128882</v>
      </c>
      <c r="H54">
        <f t="shared" si="28"/>
        <v>0.56216842078983342</v>
      </c>
      <c r="I54">
        <f t="shared" ref="I54" si="29">STDEV(I49:I52)</f>
        <v>0.18734993995195184</v>
      </c>
    </row>
    <row r="55" spans="1:9" x14ac:dyDescent="0.2">
      <c r="I55" s="1"/>
    </row>
    <row r="66" spans="1:10" x14ac:dyDescent="0.2">
      <c r="B66" s="1"/>
      <c r="C66" s="1"/>
    </row>
    <row r="67" spans="1:10" x14ac:dyDescent="0.2">
      <c r="B67" s="1"/>
      <c r="C67" s="1"/>
    </row>
    <row r="68" spans="1:10" x14ac:dyDescent="0.2">
      <c r="B68" s="1"/>
      <c r="C68" s="1"/>
    </row>
    <row r="69" spans="1:10" x14ac:dyDescent="0.2">
      <c r="B69" s="1"/>
      <c r="C69" s="1"/>
    </row>
    <row r="73" spans="1:10" x14ac:dyDescent="0.2">
      <c r="J73" s="5"/>
    </row>
    <row r="80" spans="1:10" x14ac:dyDescent="0.2">
      <c r="A80" s="5"/>
      <c r="B80" s="1"/>
      <c r="C80" s="1"/>
      <c r="D80" s="1"/>
      <c r="E80" s="5"/>
      <c r="F80" s="5"/>
      <c r="G80" s="5"/>
      <c r="H80" s="1"/>
      <c r="I80" s="1"/>
    </row>
    <row r="81" spans="1:9" x14ac:dyDescent="0.2">
      <c r="A81" s="5"/>
      <c r="B81" s="1"/>
      <c r="C81" s="1"/>
      <c r="D81" s="1"/>
      <c r="E81" s="5"/>
      <c r="F81" s="5"/>
      <c r="G81" s="5"/>
      <c r="H81" s="1"/>
      <c r="I81" s="1"/>
    </row>
    <row r="82" spans="1:9" x14ac:dyDescent="0.2">
      <c r="A82" s="5"/>
      <c r="B82" s="1"/>
      <c r="C82" s="1"/>
      <c r="D82" s="1"/>
      <c r="E82" s="5"/>
      <c r="F82" s="5"/>
      <c r="G82" s="5"/>
      <c r="H82" s="1"/>
      <c r="I82" s="1"/>
    </row>
    <row r="83" spans="1:9" x14ac:dyDescent="0.2">
      <c r="A83" s="5"/>
      <c r="B83" s="5"/>
      <c r="C83" s="1"/>
      <c r="D83" s="1"/>
      <c r="E83" s="5"/>
      <c r="F83" s="5"/>
      <c r="G83" s="5"/>
      <c r="H83" s="1"/>
      <c r="I83" s="1"/>
    </row>
    <row r="84" spans="1:9" x14ac:dyDescent="0.2">
      <c r="A84" s="5"/>
    </row>
    <row r="85" spans="1:9" x14ac:dyDescent="0.2">
      <c r="A85" s="5"/>
    </row>
    <row r="86" spans="1:9" x14ac:dyDescent="0.2">
      <c r="A86" s="4"/>
      <c r="B86" s="5"/>
      <c r="C86" s="1"/>
      <c r="D86" s="1"/>
      <c r="E86" s="1"/>
    </row>
    <row r="87" spans="1:9" x14ac:dyDescent="0.2">
      <c r="A87" s="5"/>
    </row>
    <row r="88" spans="1:9" x14ac:dyDescent="0.2">
      <c r="D88" s="5"/>
    </row>
    <row r="89" spans="1:9" x14ac:dyDescent="0.2">
      <c r="D89" s="5"/>
    </row>
    <row r="90" spans="1:9" x14ac:dyDescent="0.2">
      <c r="D90" s="5"/>
    </row>
    <row r="91" spans="1:9" x14ac:dyDescent="0.2">
      <c r="D91" s="5"/>
    </row>
    <row r="99" spans="1:2" x14ac:dyDescent="0.2">
      <c r="A99" s="7"/>
      <c r="B99" s="7"/>
    </row>
    <row r="100" spans="1:2" x14ac:dyDescent="0.2">
      <c r="A100" s="1"/>
      <c r="B100" s="1"/>
    </row>
    <row r="101" spans="1:2" x14ac:dyDescent="0.2">
      <c r="A101" s="1"/>
      <c r="B101" s="1"/>
    </row>
    <row r="102" spans="1:2" x14ac:dyDescent="0.2">
      <c r="A102" s="1"/>
      <c r="B102" s="1"/>
    </row>
    <row r="103" spans="1:2" x14ac:dyDescent="0.2">
      <c r="A103" s="1"/>
      <c r="B103" s="1"/>
    </row>
    <row r="104" spans="1:2" x14ac:dyDescent="0.2">
      <c r="A104" s="1"/>
    </row>
    <row r="105" spans="1:2" x14ac:dyDescent="0.2">
      <c r="A105" s="1"/>
    </row>
  </sheetData>
  <phoneticPr fontId="6" type="noConversion"/>
  <pageMargins left="0.7" right="0.7" top="0.75" bottom="0.75" header="0.3" footer="0.3"/>
  <pageSetup paperSize="9" orientation="portrait" horizontalDpi="0" verticalDpi="0"/>
</worksheet>
</file>

<file path=docMetadata/LabelInfo.xml><?xml version="1.0" encoding="utf-8"?>
<clbl:labelList xmlns:clbl="http://schemas.microsoft.com/office/2020/mipLabelMetadata">
  <clbl:label id="{7aa68094-6104-41a6-b443-d4b52451f617}" enabled="0" method="" siteId="{7aa68094-6104-41a6-b443-d4b52451f61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Andreas Carlsson</dc:creator>
  <cp:lastModifiedBy>Andreas Carlsson</cp:lastModifiedBy>
  <dcterms:created xsi:type="dcterms:W3CDTF">2024-04-01T10:13:50Z</dcterms:created>
  <dcterms:modified xsi:type="dcterms:W3CDTF">2025-09-02T21:59:44Z</dcterms:modified>
</cp:coreProperties>
</file>